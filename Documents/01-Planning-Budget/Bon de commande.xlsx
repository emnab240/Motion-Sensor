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hurclaret/Documents/Ecole ingé/5A/Projet Dekhli/"/>
    </mc:Choice>
  </mc:AlternateContent>
  <xr:revisionPtr revIDLastSave="0" documentId="13_ncr:1_{7E15319C-FB5F-9047-8341-509A93F2C186}" xr6:coauthVersionLast="47" xr6:coauthVersionMax="47" xr10:uidLastSave="{00000000-0000-0000-0000-000000000000}"/>
  <bookViews>
    <workbookView xWindow="0" yWindow="660" windowWidth="30240" windowHeight="18980" xr2:uid="{3E6CBBB9-0284-A04A-A5B8-A4D51BBE38D4}"/>
  </bookViews>
  <sheets>
    <sheet name="BD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6" i="1" l="1"/>
  <c r="Q3" i="1"/>
  <c r="K32" i="1"/>
  <c r="I37" i="1"/>
  <c r="J37" i="1" s="1"/>
  <c r="I36" i="1"/>
  <c r="J36" i="1" s="1"/>
  <c r="K30" i="1"/>
  <c r="J29" i="1"/>
  <c r="J31" i="1"/>
  <c r="I31" i="1"/>
  <c r="I30" i="1"/>
  <c r="I32" i="1"/>
  <c r="J32" i="1" s="1"/>
  <c r="I33" i="1"/>
  <c r="J33" i="1" s="1"/>
  <c r="I34" i="1"/>
  <c r="J34" i="1" s="1"/>
  <c r="I35" i="1"/>
  <c r="J35" i="1" s="1"/>
  <c r="K26" i="1"/>
  <c r="I29" i="1"/>
  <c r="I28" i="1"/>
  <c r="J28" i="1" s="1"/>
  <c r="I27" i="1"/>
  <c r="J27" i="1" s="1"/>
  <c r="I26" i="1"/>
  <c r="J26" i="1" s="1"/>
  <c r="K20" i="1"/>
  <c r="I25" i="1"/>
  <c r="J25" i="1" s="1"/>
  <c r="I24" i="1"/>
  <c r="J24" i="1" s="1"/>
  <c r="I23" i="1"/>
  <c r="J23" i="1" s="1"/>
  <c r="I22" i="1"/>
  <c r="J22" i="1" s="1"/>
  <c r="I21" i="1"/>
  <c r="J21" i="1" s="1"/>
  <c r="K15" i="1"/>
  <c r="I16" i="1"/>
  <c r="J16" i="1" s="1"/>
  <c r="J4" i="1"/>
  <c r="J5" i="1"/>
  <c r="J6" i="1"/>
  <c r="J7" i="1"/>
  <c r="J9" i="1"/>
  <c r="J11" i="1"/>
  <c r="J13" i="1"/>
  <c r="J14" i="1"/>
  <c r="I4" i="1"/>
  <c r="I5" i="1"/>
  <c r="I6" i="1"/>
  <c r="I7" i="1"/>
  <c r="I9" i="1"/>
  <c r="I10" i="1"/>
  <c r="J10" i="1" s="1"/>
  <c r="I11" i="1"/>
  <c r="I13" i="1"/>
  <c r="I14" i="1"/>
  <c r="I15" i="1"/>
  <c r="J15" i="1" s="1"/>
  <c r="I17" i="1"/>
  <c r="J17" i="1" s="1"/>
  <c r="I18" i="1"/>
  <c r="J18" i="1" s="1"/>
  <c r="I19" i="1"/>
  <c r="J19" i="1" s="1"/>
  <c r="I20" i="1"/>
  <c r="J20" i="1" s="1"/>
  <c r="K4" i="1"/>
  <c r="I3" i="1"/>
  <c r="J3" i="1" s="1"/>
  <c r="K3" i="1" s="1"/>
  <c r="K10" i="1" l="1"/>
  <c r="K8" i="1"/>
  <c r="K5" i="1"/>
</calcChain>
</file>

<file path=xl/sharedStrings.xml><?xml version="1.0" encoding="utf-8"?>
<sst xmlns="http://schemas.openxmlformats.org/spreadsheetml/2006/main" count="202" uniqueCount="113">
  <si>
    <t>Bon de commande</t>
  </si>
  <si>
    <t>Catégorie</t>
  </si>
  <si>
    <t>Dénomination</t>
  </si>
  <si>
    <t>Référence (URL)</t>
  </si>
  <si>
    <t>PU</t>
  </si>
  <si>
    <t>Composant</t>
  </si>
  <si>
    <t>Matériel</t>
  </si>
  <si>
    <t>Module</t>
  </si>
  <si>
    <t>Etat de la commande</t>
  </si>
  <si>
    <t>TOTAL</t>
  </si>
  <si>
    <t>Date de la commande</t>
  </si>
  <si>
    <t>Cathégorie</t>
  </si>
  <si>
    <t>Capteur</t>
  </si>
  <si>
    <t>Connecteur</t>
  </si>
  <si>
    <t>Etat de livraison</t>
  </si>
  <si>
    <t>Non commandé</t>
  </si>
  <si>
    <t>Commandé</t>
  </si>
  <si>
    <t>Livré sans défauts</t>
  </si>
  <si>
    <t>Livré avec défauts</t>
  </si>
  <si>
    <t>En cours de livraison</t>
  </si>
  <si>
    <t>Quantité du besoin</t>
  </si>
  <si>
    <t>https://jlcpcb.com/partdetail/STMicroelectronics-STM32F446RET6/C69336</t>
  </si>
  <si>
    <t>STM32F446RET6</t>
  </si>
  <si>
    <t>Référence</t>
  </si>
  <si>
    <t>C69336</t>
  </si>
  <si>
    <t xml:space="preserve">Capteur IR Emetteur/Recepteur </t>
  </si>
  <si>
    <t>https://www.az-delivery.de/fr/products/vl53l0x-time-of-flight-tof-laser-abstandssensor?variant=32344531402848</t>
  </si>
  <si>
    <t>Nbre de pcb assemblé</t>
  </si>
  <si>
    <t>PT / 1 pcb</t>
  </si>
  <si>
    <t>PT / 2 pcb</t>
  </si>
  <si>
    <t>VL53L0X</t>
  </si>
  <si>
    <t>C25804</t>
  </si>
  <si>
    <t>https://jlcpcb.com/partdetail/26547-0603WAF1002T5E/C25804</t>
  </si>
  <si>
    <t>C108079</t>
  </si>
  <si>
    <t>Condensateur 100 nF / 10 % / 0603</t>
  </si>
  <si>
    <t>https://jlcpcb.com/partdetail/YAGEO-CC0603KRX7R7BB104/C108079</t>
  </si>
  <si>
    <t>Prix par bloc</t>
  </si>
  <si>
    <t>Capteur de tempéarture / humidité</t>
  </si>
  <si>
    <t>https://jlcpcb.com/partdetail/Sensirion-SHT40_AD1BR2/C2909890</t>
  </si>
  <si>
    <t>C2909890</t>
  </si>
  <si>
    <t>Barette mâle 6 broches / pas 2,54 mm</t>
  </si>
  <si>
    <t>https://jlcpcb.com/partdetail/PZ254V-11-06P/C492405</t>
  </si>
  <si>
    <t>C492405</t>
  </si>
  <si>
    <t>https://www.gotronic.fr/art-servomoteur-analogique-miniature-fs90-25826.htm</t>
  </si>
  <si>
    <t>Servomotor</t>
  </si>
  <si>
    <t>FS90</t>
  </si>
  <si>
    <t>Jack 5V</t>
  </si>
  <si>
    <t>https://jlcpcb.com/partdetail/DC-005-A200/C720557</t>
  </si>
  <si>
    <t>C720557</t>
  </si>
  <si>
    <t>Prise secteur - 5VDC / 15 W / 3A</t>
  </si>
  <si>
    <t>https://www.reichelt.com/fr/fr/shop/produit/power_supply_15_0_w_2_1_x_5_5_mm_barrel_plug-171086</t>
  </si>
  <si>
    <t>GST18E05-P1J</t>
  </si>
  <si>
    <t>https://jlcpcb.com/partdetail/STMicroelectronics-STM32F401RCT6/C74524</t>
  </si>
  <si>
    <t>C74524</t>
  </si>
  <si>
    <t>STM32F401RCT6</t>
  </si>
  <si>
    <t>https://jlcpcb.com/partdetail/KNSCHA-RVT470UF10V67RV0054/C2915651</t>
  </si>
  <si>
    <t>C2915651</t>
  </si>
  <si>
    <t>https://www.tme.eu/fr/details/mq-2/capteurs-de-gaz/winsen/</t>
  </si>
  <si>
    <t>Détecteur de fumée</t>
  </si>
  <si>
    <t>MQ-2</t>
  </si>
  <si>
    <t>C22809</t>
  </si>
  <si>
    <t>Résistance 15 K / 1 % / 0603</t>
  </si>
  <si>
    <t>Résistance 10 K / 1 % / 0603</t>
  </si>
  <si>
    <t>https://jlcpcb.com/partdetail/23536-0603WAF1502T5E/C22809</t>
  </si>
  <si>
    <t>C23162</t>
  </si>
  <si>
    <t>Résistance 4.7 K / 1 % / 0603</t>
  </si>
  <si>
    <t>https://jlcpcb.com/partdetail/C23162</t>
  </si>
  <si>
    <t>TLV62569DBVR</t>
  </si>
  <si>
    <t>Buck converter 5V - 3.3V</t>
  </si>
  <si>
    <t>https://jlcpcb.com/partdetail/TexasInstruments-TLV62569DBVR/C141836</t>
  </si>
  <si>
    <t>C49326719</t>
  </si>
  <si>
    <t>https://jlcpcb.com/partdetail/AIDECAPACITOR-0805X7R475K160NT/C49326719</t>
  </si>
  <si>
    <t>Condensateur 4.7 uF / 10 % / 0805</t>
  </si>
  <si>
    <t>Condensateur 470 uF / 20 %</t>
  </si>
  <si>
    <t>Condensateur 10 uF / 10 % / 0805</t>
  </si>
  <si>
    <t>C1713</t>
  </si>
  <si>
    <t>https://jlcpcb.com/partdetail/2065-CL21A106KOQNNNE/C1713</t>
  </si>
  <si>
    <t>C17436</t>
  </si>
  <si>
    <t>Résistance 120 K / 1 % / 0805</t>
  </si>
  <si>
    <t>https://jlcpcb.com/partdetail/18124-0805W8F1203T5E/C17436</t>
  </si>
  <si>
    <t>C17593</t>
  </si>
  <si>
    <t>Résistance 27 K / 1 % / 0805</t>
  </si>
  <si>
    <t>https://jlcpcb.com/partdetail/18281-0805W8F2702T5E/C17593</t>
  </si>
  <si>
    <t>C3220963</t>
  </si>
  <si>
    <t>https://jlcpcb.com/partdetail/3783981-MPL_AL40202R2/C3220963</t>
  </si>
  <si>
    <t>Inductance 2.2 uH / 1% / SMD,4.1x4.1mm</t>
  </si>
  <si>
    <t>C2912598</t>
  </si>
  <si>
    <t>Résistance 5.1 K / 0.1 % / 0805</t>
  </si>
  <si>
    <t>https://jlcpcb.com/partdetail/C2912598</t>
  </si>
  <si>
    <t>C2889467</t>
  </si>
  <si>
    <t>https://jlcpcb.com/partdetail/VO-0805_1_27/C2889467</t>
  </si>
  <si>
    <t>Résistance 27R / 1 % / 0805</t>
  </si>
  <si>
    <t>USB4085-GF-A</t>
  </si>
  <si>
    <t>C7095263</t>
  </si>
  <si>
    <t>https://jlcpcb.com/partdetail/8061907-USB4085_GFA/C7095263</t>
  </si>
  <si>
    <t>https://www.waveshare.com/2.42inch-oled-module.htm</t>
  </si>
  <si>
    <t>OLED Display Module</t>
  </si>
  <si>
    <t>Nombre de composants</t>
  </si>
  <si>
    <t>Barette mâle 7 broches / pas 2,54 mm</t>
  </si>
  <si>
    <t>C492406</t>
  </si>
  <si>
    <t>https://jlcpcb.com/partdetail/Xfcn-PZ254V_1107P/C492406</t>
  </si>
  <si>
    <t>Buzzer actif 5V</t>
  </si>
  <si>
    <t>https://jlcpcb.com/partdetail/FUET-FMB12A055V/C417389</t>
  </si>
  <si>
    <t>C417389</t>
  </si>
  <si>
    <t>C20917</t>
  </si>
  <si>
    <t>https://jlcpcb.com/partdetail/AO3400A/C20917</t>
  </si>
  <si>
    <t>MOSFET</t>
  </si>
  <si>
    <t>C2480</t>
  </si>
  <si>
    <t>https://jlcpcb.com/partdetail/MDD_Microdiode_Semiconductor-SS14/C2480</t>
  </si>
  <si>
    <t>Diode SS14</t>
  </si>
  <si>
    <t>Résistance 100R / 1 % / 0603</t>
  </si>
  <si>
    <t>C22775</t>
  </si>
  <si>
    <t>https://jlcpcb.com/partdetail/C22775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</si>
</sst>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_);[Red]\(#,##0.00\ &quot;€&quot;\)"/>
  </numFmts>
  <fonts count="14" x14ac:knownFonts="1">
    <font>
      <sz val="12"/>
      <color theme="1"/>
      <name val="Aptos Narrow"/>
      <family val="2"/>
      <scheme val="minor"/>
    </font>
    <font>
      <sz val="14"/>
      <color theme="1"/>
      <name val="Impact"/>
      <family val="2"/>
    </font>
    <font>
      <b/>
      <sz val="10"/>
      <color theme="1"/>
      <name val="Arial"/>
      <family val="2"/>
    </font>
    <font>
      <sz val="10"/>
      <color rgb="FF0A53A8"/>
      <name val="Arial"/>
      <family val="2"/>
    </font>
    <font>
      <sz val="10"/>
      <color theme="1"/>
      <name val="Arial"/>
      <family val="2"/>
    </font>
    <font>
      <sz val="10"/>
      <color rgb="FF11734B"/>
      <name val="Arial"/>
      <family val="2"/>
    </font>
    <font>
      <sz val="10"/>
      <color rgb="FF5A3286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rial"/>
      <family val="2"/>
    </font>
    <font>
      <sz val="11"/>
      <color rgb="FF111111"/>
      <name val="Arial"/>
      <family val="2"/>
    </font>
    <font>
      <sz val="10"/>
      <color rgb="FF000000"/>
      <name val="Arial"/>
      <family val="2"/>
    </font>
    <font>
      <sz val="11"/>
      <color rgb="FF18181A"/>
      <name val="Arial"/>
      <family val="2"/>
    </font>
    <font>
      <sz val="10"/>
      <color rgb="FF1818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 style="mediumDashed">
        <color rgb="FFFF0000"/>
      </top>
      <bottom/>
      <diagonal/>
    </border>
    <border>
      <left/>
      <right/>
      <top/>
      <bottom style="mediumDashed">
        <color rgb="FFFF0000"/>
      </bottom>
      <diagonal/>
    </border>
    <border>
      <left style="mediumDashed">
        <color rgb="FFFF0000"/>
      </left>
      <right/>
      <top/>
      <bottom/>
      <diagonal/>
    </border>
    <border>
      <left/>
      <right style="mediumDashed">
        <color rgb="FFFF0000"/>
      </right>
      <top/>
      <bottom/>
      <diagonal/>
    </border>
    <border>
      <left/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/>
      <top/>
      <bottom style="mediumDashed">
        <color rgb="FFFF0000"/>
      </bottom>
      <diagonal/>
    </border>
    <border>
      <left style="mediumDashed">
        <color rgb="FFFF0000"/>
      </left>
      <right/>
      <top style="mediumDashed">
        <color rgb="FFFF0000"/>
      </top>
      <bottom/>
      <diagonal/>
    </border>
    <border>
      <left/>
      <right style="mediumDashed">
        <color rgb="FFFF0000"/>
      </right>
      <top/>
      <bottom style="mediumDashed">
        <color rgb="FFFF0000"/>
      </bottom>
      <diagonal/>
    </border>
    <border>
      <left/>
      <right style="mediumDashed">
        <color theme="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8" fontId="4" fillId="0" borderId="0" xfId="0" applyNumberFormat="1" applyFont="1"/>
    <xf numFmtId="0" fontId="1" fillId="2" borderId="0" xfId="0" applyFont="1" applyFill="1" applyAlignment="1">
      <alignment horizontal="center"/>
    </xf>
    <xf numFmtId="0" fontId="8" fillId="0" borderId="0" xfId="0" applyFont="1"/>
    <xf numFmtId="0" fontId="7" fillId="0" borderId="0" xfId="1" applyAlignment="1">
      <alignment horizontal="left"/>
    </xf>
    <xf numFmtId="0" fontId="9" fillId="0" borderId="0" xfId="1" applyFont="1"/>
    <xf numFmtId="0" fontId="9" fillId="0" borderId="0" xfId="0" applyFont="1" applyAlignment="1">
      <alignment horizontal="center" vertical="center"/>
    </xf>
    <xf numFmtId="0" fontId="4" fillId="0" borderId="0" xfId="0" applyFont="1" applyBorder="1"/>
    <xf numFmtId="0" fontId="7" fillId="0" borderId="0" xfId="1" applyBorder="1"/>
    <xf numFmtId="0" fontId="9" fillId="0" borderId="0" xfId="1" applyFont="1" applyBorder="1"/>
    <xf numFmtId="0" fontId="4" fillId="0" borderId="1" xfId="0" applyFont="1" applyBorder="1"/>
    <xf numFmtId="0" fontId="7" fillId="0" borderId="1" xfId="1" applyBorder="1"/>
    <xf numFmtId="0" fontId="4" fillId="0" borderId="2" xfId="0" applyFont="1" applyBorder="1"/>
    <xf numFmtId="0" fontId="9" fillId="0" borderId="1" xfId="1" applyFont="1" applyBorder="1"/>
    <xf numFmtId="0" fontId="5" fillId="0" borderId="3" xfId="0" applyFont="1" applyBorder="1"/>
    <xf numFmtId="0" fontId="4" fillId="0" borderId="4" xfId="0" applyFont="1" applyBorder="1"/>
    <xf numFmtId="0" fontId="4" fillId="0" borderId="5" xfId="0" applyFont="1" applyBorder="1"/>
    <xf numFmtId="8" fontId="4" fillId="0" borderId="1" xfId="0" applyNumberFormat="1" applyFont="1" applyBorder="1"/>
    <xf numFmtId="8" fontId="4" fillId="0" borderId="6" xfId="0" applyNumberFormat="1" applyFont="1" applyBorder="1"/>
    <xf numFmtId="8" fontId="4" fillId="0" borderId="3" xfId="0" applyNumberFormat="1" applyFont="1" applyBorder="1"/>
    <xf numFmtId="8" fontId="4" fillId="0" borderId="7" xfId="0" applyNumberFormat="1" applyFont="1" applyBorder="1"/>
    <xf numFmtId="0" fontId="3" fillId="0" borderId="7" xfId="0" applyFont="1" applyBorder="1"/>
    <xf numFmtId="0" fontId="3" fillId="0" borderId="6" xfId="0" applyFont="1" applyBorder="1"/>
    <xf numFmtId="0" fontId="7" fillId="0" borderId="2" xfId="1" applyBorder="1"/>
    <xf numFmtId="0" fontId="9" fillId="0" borderId="2" xfId="1" applyFont="1" applyBorder="1"/>
    <xf numFmtId="0" fontId="4" fillId="0" borderId="8" xfId="0" applyFont="1" applyBorder="1"/>
    <xf numFmtId="8" fontId="4" fillId="0" borderId="0" xfId="0" applyNumberFormat="1" applyFont="1" applyBorder="1"/>
    <xf numFmtId="8" fontId="4" fillId="0" borderId="5" xfId="0" applyNumberFormat="1" applyFont="1" applyBorder="1" applyAlignment="1">
      <alignment horizontal="center" vertical="center"/>
    </xf>
    <xf numFmtId="8" fontId="4" fillId="0" borderId="4" xfId="0" applyNumberFormat="1" applyFont="1" applyBorder="1" applyAlignment="1">
      <alignment horizontal="center" vertical="center"/>
    </xf>
    <xf numFmtId="8" fontId="4" fillId="0" borderId="2" xfId="0" applyNumberFormat="1" applyFont="1" applyBorder="1"/>
    <xf numFmtId="8" fontId="4" fillId="0" borderId="8" xfId="0" applyNumberFormat="1" applyFont="1" applyBorder="1" applyAlignment="1">
      <alignment horizontal="center" vertical="center"/>
    </xf>
    <xf numFmtId="0" fontId="5" fillId="0" borderId="6" xfId="0" applyFont="1" applyBorder="1"/>
    <xf numFmtId="0" fontId="10" fillId="0" borderId="2" xfId="0" applyFont="1" applyBorder="1"/>
    <xf numFmtId="0" fontId="6" fillId="0" borderId="7" xfId="0" applyFont="1" applyBorder="1"/>
    <xf numFmtId="0" fontId="6" fillId="0" borderId="3" xfId="0" applyFont="1" applyBorder="1"/>
    <xf numFmtId="0" fontId="6" fillId="0" borderId="6" xfId="0" applyFont="1" applyBorder="1"/>
    <xf numFmtId="0" fontId="3" fillId="0" borderId="3" xfId="0" applyFont="1" applyBorder="1"/>
    <xf numFmtId="0" fontId="11" fillId="0" borderId="0" xfId="0" applyFont="1" applyBorder="1"/>
    <xf numFmtId="0" fontId="11" fillId="0" borderId="2" xfId="0" applyFont="1" applyBorder="1"/>
    <xf numFmtId="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3" fillId="0" borderId="1" xfId="0" applyFont="1" applyBorder="1"/>
    <xf numFmtId="0" fontId="12" fillId="0" borderId="1" xfId="0" applyFont="1" applyBorder="1" applyAlignment="1">
      <alignment horizontal="left"/>
    </xf>
    <xf numFmtId="8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0" xfId="0" applyFont="1" applyFill="1" applyBorder="1"/>
    <xf numFmtId="8" fontId="4" fillId="0" borderId="0" xfId="0" applyNumberFormat="1" applyFont="1" applyFill="1" applyBorder="1"/>
    <xf numFmtId="0" fontId="0" fillId="0" borderId="0" xfId="0" applyBorder="1"/>
    <xf numFmtId="0" fontId="4" fillId="0" borderId="4" xfId="0" applyFont="1" applyFill="1" applyBorder="1"/>
    <xf numFmtId="0" fontId="4" fillId="0" borderId="2" xfId="0" applyFont="1" applyFill="1" applyBorder="1"/>
    <xf numFmtId="0" fontId="0" fillId="0" borderId="2" xfId="0" applyBorder="1"/>
    <xf numFmtId="0" fontId="4" fillId="0" borderId="8" xfId="0" applyFont="1" applyFill="1" applyBorder="1"/>
    <xf numFmtId="8" fontId="4" fillId="0" borderId="3" xfId="0" applyNumberFormat="1" applyFont="1" applyFill="1" applyBorder="1"/>
    <xf numFmtId="0" fontId="0" fillId="0" borderId="4" xfId="0" applyBorder="1" applyAlignment="1">
      <alignment horizontal="center" vertical="center"/>
    </xf>
    <xf numFmtId="8" fontId="4" fillId="0" borderId="6" xfId="0" applyNumberFormat="1" applyFont="1" applyFill="1" applyBorder="1"/>
    <xf numFmtId="8" fontId="4" fillId="0" borderId="2" xfId="0" applyNumberFormat="1" applyFont="1" applyFill="1" applyBorder="1"/>
  </cellXfs>
  <cellStyles count="2">
    <cellStyle name="Lien hypertexte" xfId="1" builtinId="8"/>
    <cellStyle name="Normal" xfId="0" builtinId="0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fgColor rgb="FF7030A0"/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YAGEO-CC0603KRX7R7BB104/C108079" TargetMode="External"/><Relationship Id="rId13" Type="http://schemas.openxmlformats.org/officeDocument/2006/relationships/hyperlink" Target="https://jlcpcb.com/partdetail/VO-0805_1_27/C2889467" TargetMode="External"/><Relationship Id="rId18" Type="http://schemas.openxmlformats.org/officeDocument/2006/relationships/hyperlink" Target="https://jlcpcb.com/partdetail/26547-0603WAF1002T5E/C25804" TargetMode="External"/><Relationship Id="rId3" Type="http://schemas.openxmlformats.org/officeDocument/2006/relationships/hyperlink" Target="https://jlcpcb.com/partdetail/YAGEO-CC0603KRX7R7BB104/C108079" TargetMode="External"/><Relationship Id="rId7" Type="http://schemas.openxmlformats.org/officeDocument/2006/relationships/hyperlink" Target="https://jlcpcb.com/partdetail/STMicroelectronics-STM32F401RCT6/C74524" TargetMode="External"/><Relationship Id="rId12" Type="http://schemas.openxmlformats.org/officeDocument/2006/relationships/hyperlink" Target="https://jlcpcb.com/partdetail/2065-CL21A106KOQNNNE/C1713" TargetMode="External"/><Relationship Id="rId17" Type="http://schemas.openxmlformats.org/officeDocument/2006/relationships/hyperlink" Target="https://jlcpcb.com/partdetail/AO3400A/C20917" TargetMode="External"/><Relationship Id="rId2" Type="http://schemas.openxmlformats.org/officeDocument/2006/relationships/hyperlink" Target="https://jlcpcb.com/partdetail/26547-0603WAF1002T5E/C25804" TargetMode="External"/><Relationship Id="rId16" Type="http://schemas.openxmlformats.org/officeDocument/2006/relationships/hyperlink" Target="https://www.waveshare.com/2.42inch-oled-module.htm" TargetMode="External"/><Relationship Id="rId20" Type="http://schemas.openxmlformats.org/officeDocument/2006/relationships/hyperlink" Target="https://jlcpcb.com/partdetail/C22775" TargetMode="External"/><Relationship Id="rId1" Type="http://schemas.openxmlformats.org/officeDocument/2006/relationships/hyperlink" Target="https://jlcpcb.com/partdetail/STMicroelectronics-STM32F446RET6/C69336" TargetMode="External"/><Relationship Id="rId6" Type="http://schemas.openxmlformats.org/officeDocument/2006/relationships/hyperlink" Target="https://jlcpcb.com/partdetail/YAGEO-CC0603KRX7R7BB104/C108079" TargetMode="External"/><Relationship Id="rId11" Type="http://schemas.openxmlformats.org/officeDocument/2006/relationships/hyperlink" Target="https://jlcpcb.com/partdetail/KNSCHA-RVT470UF10V67RV0054/C2915651" TargetMode="External"/><Relationship Id="rId5" Type="http://schemas.openxmlformats.org/officeDocument/2006/relationships/hyperlink" Target="https://jlcpcb.com/partdetail/DC-005-A200/C720557" TargetMode="External"/><Relationship Id="rId15" Type="http://schemas.openxmlformats.org/officeDocument/2006/relationships/hyperlink" Target="https://www.az-delivery.de/fr/products/vl53l0x-time-of-flight-tof-laser-abstandssensor?variant=32344531402848" TargetMode="External"/><Relationship Id="rId10" Type="http://schemas.openxmlformats.org/officeDocument/2006/relationships/hyperlink" Target="https://jlcpcb.com/partdetail/C23162" TargetMode="External"/><Relationship Id="rId19" Type="http://schemas.openxmlformats.org/officeDocument/2006/relationships/hyperlink" Target="https://jlcpcb.com/partdetail/YAGEO-CC0603KRX7R7BB104/C108079" TargetMode="External"/><Relationship Id="rId4" Type="http://schemas.openxmlformats.org/officeDocument/2006/relationships/hyperlink" Target="https://jlcpcb.com/partdetail/PZ254V-11-06P/C492405" TargetMode="External"/><Relationship Id="rId9" Type="http://schemas.openxmlformats.org/officeDocument/2006/relationships/hyperlink" Target="https://jlcpcb.com/partdetail/26547-0603WAF1002T5E/C25804" TargetMode="External"/><Relationship Id="rId14" Type="http://schemas.openxmlformats.org/officeDocument/2006/relationships/hyperlink" Target="https://jlcpcb.com/partdetail/YAGEO-CC0603KRX7R7BB104/C1080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0C87-6541-0143-8A2D-56918BC21942}">
  <dimension ref="A1:W37"/>
  <sheetViews>
    <sheetView tabSelected="1" zoomScale="60" workbookViewId="0">
      <selection activeCell="G41" sqref="G41"/>
    </sheetView>
  </sheetViews>
  <sheetFormatPr baseColWidth="10" defaultRowHeight="16" x14ac:dyDescent="0.2"/>
  <cols>
    <col min="2" max="2" width="42.83203125" customWidth="1"/>
    <col min="3" max="3" width="14.83203125" customWidth="1"/>
    <col min="4" max="4" width="14.33203125" customWidth="1"/>
    <col min="5" max="5" width="17.5" customWidth="1"/>
    <col min="6" max="7" width="19.33203125" customWidth="1"/>
    <col min="11" max="11" width="11.83203125" customWidth="1"/>
    <col min="12" max="12" width="17" customWidth="1"/>
    <col min="23" max="23" width="19.5" customWidth="1"/>
  </cols>
  <sheetData>
    <row r="1" spans="1:23" ht="18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V1" s="6" t="s">
        <v>11</v>
      </c>
      <c r="W1" s="6" t="s">
        <v>14</v>
      </c>
    </row>
    <row r="2" spans="1:23" x14ac:dyDescent="0.2">
      <c r="A2" s="1" t="s">
        <v>1</v>
      </c>
      <c r="B2" s="1" t="s">
        <v>2</v>
      </c>
      <c r="C2" s="1" t="s">
        <v>3</v>
      </c>
      <c r="D2" s="1" t="s">
        <v>23</v>
      </c>
      <c r="E2" s="1" t="s">
        <v>20</v>
      </c>
      <c r="F2" s="1">
        <v>0</v>
      </c>
      <c r="G2" s="1" t="s">
        <v>27</v>
      </c>
      <c r="H2" s="1" t="s">
        <v>4</v>
      </c>
      <c r="I2" s="1" t="s">
        <v>28</v>
      </c>
      <c r="J2" s="1" t="s">
        <v>29</v>
      </c>
      <c r="K2" s="1" t="s">
        <v>36</v>
      </c>
      <c r="L2" s="1" t="s">
        <v>14</v>
      </c>
      <c r="O2" s="44" t="s">
        <v>8</v>
      </c>
      <c r="P2" s="44"/>
      <c r="Q2" s="44" t="s">
        <v>9</v>
      </c>
      <c r="R2" s="44"/>
      <c r="V2" t="s">
        <v>5</v>
      </c>
      <c r="W2" t="s">
        <v>15</v>
      </c>
    </row>
    <row r="3" spans="1:23" x14ac:dyDescent="0.2">
      <c r="A3" s="2" t="s">
        <v>7</v>
      </c>
      <c r="B3" s="3" t="s">
        <v>22</v>
      </c>
      <c r="C3" s="7" t="s">
        <v>21</v>
      </c>
      <c r="D3" s="8" t="s">
        <v>24</v>
      </c>
      <c r="E3" s="3">
        <v>1</v>
      </c>
      <c r="F3" s="3">
        <v>0</v>
      </c>
      <c r="G3" s="9">
        <v>2</v>
      </c>
      <c r="H3" s="4">
        <v>12.35</v>
      </c>
      <c r="I3" s="4">
        <f>((E3-F3)*H3)</f>
        <v>12.35</v>
      </c>
      <c r="J3" s="4">
        <f>I3*$G$3</f>
        <v>24.7</v>
      </c>
      <c r="K3" s="4">
        <f>J3</f>
        <v>24.7</v>
      </c>
      <c r="L3" s="3" t="s">
        <v>15</v>
      </c>
      <c r="O3" s="45"/>
      <c r="P3" s="46"/>
      <c r="Q3" s="42">
        <f>(SUM(J3:J37))</f>
        <v>102.78</v>
      </c>
      <c r="R3" s="42"/>
      <c r="V3" t="s">
        <v>6</v>
      </c>
      <c r="W3" t="s">
        <v>16</v>
      </c>
    </row>
    <row r="4" spans="1:23" ht="17" thickBot="1" x14ac:dyDescent="0.25">
      <c r="A4" s="2" t="s">
        <v>7</v>
      </c>
      <c r="B4" s="3" t="s">
        <v>54</v>
      </c>
      <c r="C4" s="7" t="s">
        <v>52</v>
      </c>
      <c r="D4" s="8" t="s">
        <v>53</v>
      </c>
      <c r="E4" s="3">
        <v>1</v>
      </c>
      <c r="F4" s="3">
        <v>0</v>
      </c>
      <c r="G4" s="9"/>
      <c r="H4" s="4">
        <v>4.91</v>
      </c>
      <c r="I4" s="4">
        <f t="shared" ref="I4:I32" si="0">((E4-F4)*H4)</f>
        <v>4.91</v>
      </c>
      <c r="J4" s="4">
        <f t="shared" ref="J4:J37" si="1">I4*$G$3</f>
        <v>9.82</v>
      </c>
      <c r="K4" s="4">
        <f>J4</f>
        <v>9.82</v>
      </c>
      <c r="L4" s="3" t="s">
        <v>15</v>
      </c>
      <c r="O4" s="45"/>
      <c r="P4" s="46"/>
      <c r="Q4" s="42"/>
      <c r="R4" s="42"/>
      <c r="V4" t="s">
        <v>12</v>
      </c>
      <c r="W4" t="s">
        <v>19</v>
      </c>
    </row>
    <row r="5" spans="1:23" x14ac:dyDescent="0.2">
      <c r="A5" s="24" t="s">
        <v>12</v>
      </c>
      <c r="B5" s="13" t="s">
        <v>37</v>
      </c>
      <c r="C5" s="14" t="s">
        <v>38</v>
      </c>
      <c r="D5" s="16" t="s">
        <v>30</v>
      </c>
      <c r="E5" s="13">
        <v>1</v>
      </c>
      <c r="F5" s="19">
        <v>0</v>
      </c>
      <c r="G5" s="9"/>
      <c r="H5" s="23">
        <v>1.9</v>
      </c>
      <c r="I5" s="20">
        <f t="shared" si="0"/>
        <v>1.9</v>
      </c>
      <c r="J5" s="20">
        <f t="shared" si="1"/>
        <v>3.8</v>
      </c>
      <c r="K5" s="30">
        <f>(J5+J6+J7)</f>
        <v>3.86</v>
      </c>
      <c r="L5" s="10" t="s">
        <v>15</v>
      </c>
      <c r="O5" s="44" t="s">
        <v>10</v>
      </c>
      <c r="P5" s="44"/>
      <c r="Q5" s="44" t="s">
        <v>97</v>
      </c>
      <c r="R5" s="44"/>
      <c r="V5" t="s">
        <v>7</v>
      </c>
      <c r="W5" t="s">
        <v>17</v>
      </c>
    </row>
    <row r="6" spans="1:23" x14ac:dyDescent="0.2">
      <c r="A6" s="17" t="s">
        <v>5</v>
      </c>
      <c r="B6" s="10" t="s">
        <v>62</v>
      </c>
      <c r="C6" s="11" t="s">
        <v>32</v>
      </c>
      <c r="D6" s="12" t="s">
        <v>31</v>
      </c>
      <c r="E6" s="10">
        <v>2</v>
      </c>
      <c r="F6" s="18">
        <v>0</v>
      </c>
      <c r="G6" s="9"/>
      <c r="H6" s="22">
        <v>0.01</v>
      </c>
      <c r="I6" s="29">
        <f t="shared" si="0"/>
        <v>0.02</v>
      </c>
      <c r="J6" s="29">
        <f t="shared" si="1"/>
        <v>0.04</v>
      </c>
      <c r="K6" s="31"/>
      <c r="L6" s="3" t="s">
        <v>15</v>
      </c>
      <c r="O6" s="45"/>
      <c r="P6" s="46"/>
      <c r="Q6" s="43">
        <f>(SUM(E3:E37))</f>
        <v>43</v>
      </c>
      <c r="R6" s="43"/>
      <c r="V6" t="s">
        <v>13</v>
      </c>
      <c r="W6" t="s">
        <v>18</v>
      </c>
    </row>
    <row r="7" spans="1:23" ht="17" thickBot="1" x14ac:dyDescent="0.25">
      <c r="A7" s="25" t="s">
        <v>5</v>
      </c>
      <c r="B7" s="15" t="s">
        <v>34</v>
      </c>
      <c r="C7" s="26" t="s">
        <v>35</v>
      </c>
      <c r="D7" s="27" t="s">
        <v>33</v>
      </c>
      <c r="E7" s="15">
        <v>1</v>
      </c>
      <c r="F7" s="28">
        <v>0</v>
      </c>
      <c r="G7" s="9"/>
      <c r="H7" s="21">
        <v>0.01</v>
      </c>
      <c r="I7" s="32">
        <f t="shared" si="0"/>
        <v>0.01</v>
      </c>
      <c r="J7" s="32">
        <f t="shared" si="1"/>
        <v>0.02</v>
      </c>
      <c r="K7" s="33"/>
      <c r="L7" s="3" t="s">
        <v>15</v>
      </c>
      <c r="O7" s="45"/>
      <c r="P7" s="46"/>
      <c r="Q7" s="43"/>
      <c r="R7" s="43"/>
    </row>
    <row r="8" spans="1:23" x14ac:dyDescent="0.2">
      <c r="A8" s="24" t="s">
        <v>12</v>
      </c>
      <c r="B8" s="13" t="s">
        <v>25</v>
      </c>
      <c r="C8" s="14" t="s">
        <v>26</v>
      </c>
      <c r="D8" s="16" t="s">
        <v>39</v>
      </c>
      <c r="E8" s="13">
        <v>4</v>
      </c>
      <c r="F8" s="19">
        <v>1</v>
      </c>
      <c r="G8" s="9"/>
      <c r="H8" s="23"/>
      <c r="I8" s="20">
        <v>13.99</v>
      </c>
      <c r="J8" s="20">
        <v>13.99</v>
      </c>
      <c r="K8" s="30">
        <f>(SUM(J8:J9))</f>
        <v>13.99</v>
      </c>
      <c r="L8" s="3" t="s">
        <v>15</v>
      </c>
    </row>
    <row r="9" spans="1:23" ht="17" thickBot="1" x14ac:dyDescent="0.25">
      <c r="A9" s="34" t="s">
        <v>13</v>
      </c>
      <c r="B9" s="15" t="s">
        <v>40</v>
      </c>
      <c r="C9" s="26" t="s">
        <v>41</v>
      </c>
      <c r="D9" s="35" t="s">
        <v>42</v>
      </c>
      <c r="E9" s="15">
        <v>1</v>
      </c>
      <c r="F9" s="28">
        <v>1</v>
      </c>
      <c r="G9" s="9"/>
      <c r="H9" s="21">
        <v>0.04</v>
      </c>
      <c r="I9" s="32">
        <f t="shared" si="0"/>
        <v>0</v>
      </c>
      <c r="J9" s="32">
        <f t="shared" si="1"/>
        <v>0</v>
      </c>
      <c r="K9" s="33"/>
      <c r="L9" s="3" t="s">
        <v>15</v>
      </c>
    </row>
    <row r="10" spans="1:23" x14ac:dyDescent="0.2">
      <c r="A10" s="36" t="s">
        <v>7</v>
      </c>
      <c r="B10" s="13" t="s">
        <v>44</v>
      </c>
      <c r="C10" s="14" t="s">
        <v>43</v>
      </c>
      <c r="D10" s="16" t="s">
        <v>45</v>
      </c>
      <c r="E10" s="13">
        <v>1</v>
      </c>
      <c r="F10" s="19">
        <v>0</v>
      </c>
      <c r="G10" s="9"/>
      <c r="H10" s="23">
        <v>4.9000000000000004</v>
      </c>
      <c r="I10" s="20">
        <f t="shared" si="0"/>
        <v>4.9000000000000004</v>
      </c>
      <c r="J10" s="20">
        <f t="shared" si="1"/>
        <v>9.8000000000000007</v>
      </c>
      <c r="K10" s="30">
        <f>(SUM(J10:J14))</f>
        <v>26.660000000000004</v>
      </c>
      <c r="L10" s="3" t="s">
        <v>15</v>
      </c>
    </row>
    <row r="11" spans="1:23" x14ac:dyDescent="0.2">
      <c r="A11" s="37" t="s">
        <v>13</v>
      </c>
      <c r="B11" s="10" t="s">
        <v>46</v>
      </c>
      <c r="C11" s="11" t="s">
        <v>47</v>
      </c>
      <c r="D11" s="12" t="s">
        <v>48</v>
      </c>
      <c r="E11" s="10">
        <v>1</v>
      </c>
      <c r="F11" s="18">
        <v>0</v>
      </c>
      <c r="G11" s="9"/>
      <c r="H11" s="22">
        <v>0.15</v>
      </c>
      <c r="I11" s="29">
        <f t="shared" si="0"/>
        <v>0.15</v>
      </c>
      <c r="J11" s="29">
        <f t="shared" si="1"/>
        <v>0.3</v>
      </c>
      <c r="K11" s="31"/>
      <c r="L11" s="3" t="s">
        <v>15</v>
      </c>
    </row>
    <row r="12" spans="1:23" x14ac:dyDescent="0.2">
      <c r="A12" s="37" t="s">
        <v>6</v>
      </c>
      <c r="B12" s="10" t="s">
        <v>49</v>
      </c>
      <c r="C12" s="11" t="s">
        <v>50</v>
      </c>
      <c r="D12" s="12" t="s">
        <v>51</v>
      </c>
      <c r="E12" s="10">
        <v>1</v>
      </c>
      <c r="F12" s="18">
        <v>0</v>
      </c>
      <c r="G12" s="9"/>
      <c r="H12" s="22">
        <v>16.260000000000002</v>
      </c>
      <c r="I12" s="29">
        <v>16.260000000000002</v>
      </c>
      <c r="J12" s="29">
        <v>16.260000000000002</v>
      </c>
      <c r="K12" s="31"/>
      <c r="L12" s="3" t="s">
        <v>15</v>
      </c>
    </row>
    <row r="13" spans="1:23" x14ac:dyDescent="0.2">
      <c r="A13" s="37" t="s">
        <v>5</v>
      </c>
      <c r="B13" s="10" t="s">
        <v>34</v>
      </c>
      <c r="C13" s="11" t="s">
        <v>35</v>
      </c>
      <c r="D13" s="12" t="s">
        <v>33</v>
      </c>
      <c r="E13" s="10">
        <v>2</v>
      </c>
      <c r="F13" s="18">
        <v>0</v>
      </c>
      <c r="G13" s="9"/>
      <c r="H13" s="22">
        <v>0.01</v>
      </c>
      <c r="I13" s="29">
        <f t="shared" si="0"/>
        <v>0.02</v>
      </c>
      <c r="J13" s="29">
        <f t="shared" si="1"/>
        <v>0.04</v>
      </c>
      <c r="K13" s="31"/>
      <c r="L13" s="3" t="s">
        <v>15</v>
      </c>
    </row>
    <row r="14" spans="1:23" ht="17" thickBot="1" x14ac:dyDescent="0.25">
      <c r="A14" s="38" t="s">
        <v>5</v>
      </c>
      <c r="B14" s="15" t="s">
        <v>73</v>
      </c>
      <c r="C14" s="26" t="s">
        <v>55</v>
      </c>
      <c r="D14" s="27" t="s">
        <v>56</v>
      </c>
      <c r="E14" s="15">
        <v>1</v>
      </c>
      <c r="F14" s="28">
        <v>0</v>
      </c>
      <c r="G14" s="9"/>
      <c r="H14" s="21">
        <v>0.13</v>
      </c>
      <c r="I14" s="32">
        <f t="shared" si="0"/>
        <v>0.13</v>
      </c>
      <c r="J14" s="32">
        <f t="shared" si="1"/>
        <v>0.26</v>
      </c>
      <c r="K14" s="33"/>
      <c r="L14" s="3" t="s">
        <v>15</v>
      </c>
    </row>
    <row r="15" spans="1:23" x14ac:dyDescent="0.2">
      <c r="A15" s="36" t="s">
        <v>12</v>
      </c>
      <c r="B15" s="13" t="s">
        <v>58</v>
      </c>
      <c r="C15" s="14" t="s">
        <v>57</v>
      </c>
      <c r="D15" s="16" t="s">
        <v>59</v>
      </c>
      <c r="E15" s="13">
        <v>1</v>
      </c>
      <c r="F15" s="19">
        <v>0</v>
      </c>
      <c r="G15" s="9"/>
      <c r="H15" s="23">
        <v>1.68</v>
      </c>
      <c r="I15" s="20">
        <f t="shared" si="0"/>
        <v>1.68</v>
      </c>
      <c r="J15" s="20">
        <f t="shared" si="1"/>
        <v>3.36</v>
      </c>
      <c r="K15" s="30">
        <f>(SUM(J15:J19))</f>
        <v>3.46</v>
      </c>
      <c r="L15" s="3" t="s">
        <v>15</v>
      </c>
    </row>
    <row r="16" spans="1:23" x14ac:dyDescent="0.2">
      <c r="A16" s="39" t="s">
        <v>5</v>
      </c>
      <c r="B16" s="10" t="s">
        <v>34</v>
      </c>
      <c r="C16" s="11" t="s">
        <v>35</v>
      </c>
      <c r="D16" s="12" t="s">
        <v>33</v>
      </c>
      <c r="E16" s="10">
        <v>2</v>
      </c>
      <c r="F16" s="18">
        <v>0</v>
      </c>
      <c r="G16" s="9"/>
      <c r="H16" s="22">
        <v>0.01</v>
      </c>
      <c r="I16" s="29">
        <f t="shared" ref="I16" si="2">((E16-F16)*H16)</f>
        <v>0.02</v>
      </c>
      <c r="J16" s="29">
        <f t="shared" si="1"/>
        <v>0.04</v>
      </c>
      <c r="K16" s="31"/>
      <c r="L16" s="3" t="s">
        <v>15</v>
      </c>
    </row>
    <row r="17" spans="1:12" x14ac:dyDescent="0.2">
      <c r="A17" s="37" t="s">
        <v>5</v>
      </c>
      <c r="B17" s="10" t="s">
        <v>61</v>
      </c>
      <c r="C17" s="11" t="s">
        <v>63</v>
      </c>
      <c r="D17" s="12" t="s">
        <v>60</v>
      </c>
      <c r="E17" s="10">
        <v>1</v>
      </c>
      <c r="F17" s="18">
        <v>0</v>
      </c>
      <c r="G17" s="9"/>
      <c r="H17" s="22">
        <v>0.01</v>
      </c>
      <c r="I17" s="29">
        <f t="shared" si="0"/>
        <v>0.01</v>
      </c>
      <c r="J17" s="29">
        <f t="shared" si="1"/>
        <v>0.02</v>
      </c>
      <c r="K17" s="31"/>
      <c r="L17" s="3" t="s">
        <v>15</v>
      </c>
    </row>
    <row r="18" spans="1:12" x14ac:dyDescent="0.2">
      <c r="A18" s="37" t="s">
        <v>5</v>
      </c>
      <c r="B18" s="40" t="s">
        <v>62</v>
      </c>
      <c r="C18" s="11" t="s">
        <v>32</v>
      </c>
      <c r="D18" s="12" t="s">
        <v>31</v>
      </c>
      <c r="E18" s="10">
        <v>1</v>
      </c>
      <c r="F18" s="18">
        <v>0</v>
      </c>
      <c r="G18" s="9"/>
      <c r="H18" s="22">
        <v>0.01</v>
      </c>
      <c r="I18" s="29">
        <f t="shared" si="0"/>
        <v>0.01</v>
      </c>
      <c r="J18" s="29">
        <f t="shared" si="1"/>
        <v>0.02</v>
      </c>
      <c r="K18" s="31"/>
      <c r="L18" s="3" t="s">
        <v>15</v>
      </c>
    </row>
    <row r="19" spans="1:12" ht="17" thickBot="1" x14ac:dyDescent="0.25">
      <c r="A19" s="38" t="s">
        <v>5</v>
      </c>
      <c r="B19" s="41" t="s">
        <v>65</v>
      </c>
      <c r="C19" s="26" t="s">
        <v>66</v>
      </c>
      <c r="D19" s="27" t="s">
        <v>64</v>
      </c>
      <c r="E19" s="15">
        <v>1</v>
      </c>
      <c r="F19" s="28">
        <v>0</v>
      </c>
      <c r="G19" s="9"/>
      <c r="H19" s="21">
        <v>0.01</v>
      </c>
      <c r="I19" s="32">
        <f t="shared" si="0"/>
        <v>0.01</v>
      </c>
      <c r="J19" s="32">
        <f t="shared" si="1"/>
        <v>0.02</v>
      </c>
      <c r="K19" s="33"/>
      <c r="L19" s="3" t="s">
        <v>15</v>
      </c>
    </row>
    <row r="20" spans="1:12" x14ac:dyDescent="0.2">
      <c r="A20" s="36" t="s">
        <v>7</v>
      </c>
      <c r="B20" s="13" t="s">
        <v>68</v>
      </c>
      <c r="C20" s="14" t="s">
        <v>69</v>
      </c>
      <c r="D20" s="16" t="s">
        <v>67</v>
      </c>
      <c r="E20" s="13">
        <v>1</v>
      </c>
      <c r="F20" s="19">
        <v>0</v>
      </c>
      <c r="G20" s="9"/>
      <c r="H20" s="23">
        <v>0.08</v>
      </c>
      <c r="I20" s="20">
        <f t="shared" si="0"/>
        <v>0.08</v>
      </c>
      <c r="J20" s="20">
        <f t="shared" si="1"/>
        <v>0.16</v>
      </c>
      <c r="K20" s="30">
        <f>(SUM(J20:J25))</f>
        <v>3.26</v>
      </c>
      <c r="L20" s="3" t="s">
        <v>15</v>
      </c>
    </row>
    <row r="21" spans="1:12" x14ac:dyDescent="0.2">
      <c r="A21" s="37" t="s">
        <v>5</v>
      </c>
      <c r="B21" s="10" t="s">
        <v>72</v>
      </c>
      <c r="C21" s="11" t="s">
        <v>71</v>
      </c>
      <c r="D21" s="12" t="s">
        <v>70</v>
      </c>
      <c r="E21" s="10">
        <v>1</v>
      </c>
      <c r="F21" s="18">
        <v>0</v>
      </c>
      <c r="G21" s="9"/>
      <c r="H21" s="22">
        <v>7.0000000000000007E-2</v>
      </c>
      <c r="I21" s="29">
        <f t="shared" si="0"/>
        <v>7.0000000000000007E-2</v>
      </c>
      <c r="J21" s="29">
        <f t="shared" si="1"/>
        <v>0.14000000000000001</v>
      </c>
      <c r="K21" s="31"/>
      <c r="L21" s="3" t="s">
        <v>15</v>
      </c>
    </row>
    <row r="22" spans="1:12" x14ac:dyDescent="0.2">
      <c r="A22" s="37" t="s">
        <v>5</v>
      </c>
      <c r="B22" s="10" t="s">
        <v>74</v>
      </c>
      <c r="C22" s="11" t="s">
        <v>76</v>
      </c>
      <c r="D22" s="12" t="s">
        <v>75</v>
      </c>
      <c r="E22" s="10">
        <v>1</v>
      </c>
      <c r="F22" s="18">
        <v>0</v>
      </c>
      <c r="G22" s="9"/>
      <c r="H22" s="22">
        <v>0.06</v>
      </c>
      <c r="I22" s="29">
        <f t="shared" si="0"/>
        <v>0.06</v>
      </c>
      <c r="J22" s="29">
        <f t="shared" si="1"/>
        <v>0.12</v>
      </c>
      <c r="K22" s="31"/>
      <c r="L22" s="3" t="s">
        <v>15</v>
      </c>
    </row>
    <row r="23" spans="1:12" x14ac:dyDescent="0.2">
      <c r="A23" s="37" t="s">
        <v>5</v>
      </c>
      <c r="B23" s="10" t="s">
        <v>78</v>
      </c>
      <c r="C23" s="11" t="s">
        <v>79</v>
      </c>
      <c r="D23" s="12" t="s">
        <v>77</v>
      </c>
      <c r="E23" s="10">
        <v>1</v>
      </c>
      <c r="F23" s="18">
        <v>0</v>
      </c>
      <c r="G23" s="9"/>
      <c r="H23" s="22">
        <v>0.01</v>
      </c>
      <c r="I23" s="29">
        <f t="shared" si="0"/>
        <v>0.01</v>
      </c>
      <c r="J23" s="29">
        <f t="shared" si="1"/>
        <v>0.02</v>
      </c>
      <c r="K23" s="31"/>
      <c r="L23" s="3" t="s">
        <v>15</v>
      </c>
    </row>
    <row r="24" spans="1:12" x14ac:dyDescent="0.2">
      <c r="A24" s="37" t="s">
        <v>5</v>
      </c>
      <c r="B24" s="10" t="s">
        <v>81</v>
      </c>
      <c r="C24" s="11" t="s">
        <v>82</v>
      </c>
      <c r="D24" s="12" t="s">
        <v>80</v>
      </c>
      <c r="E24" s="10">
        <v>1</v>
      </c>
      <c r="F24" s="18">
        <v>0</v>
      </c>
      <c r="G24" s="9"/>
      <c r="H24" s="22">
        <v>0.01</v>
      </c>
      <c r="I24" s="29">
        <f t="shared" si="0"/>
        <v>0.01</v>
      </c>
      <c r="J24" s="29">
        <f t="shared" si="1"/>
        <v>0.02</v>
      </c>
      <c r="K24" s="31"/>
      <c r="L24" s="3" t="s">
        <v>15</v>
      </c>
    </row>
    <row r="25" spans="1:12" ht="17" thickBot="1" x14ac:dyDescent="0.25">
      <c r="A25" s="38" t="s">
        <v>5</v>
      </c>
      <c r="B25" s="15" t="s">
        <v>85</v>
      </c>
      <c r="C25" s="26" t="s">
        <v>84</v>
      </c>
      <c r="D25" s="27" t="s">
        <v>83</v>
      </c>
      <c r="E25" s="15">
        <v>1</v>
      </c>
      <c r="F25" s="28">
        <v>0</v>
      </c>
      <c r="G25" s="9"/>
      <c r="H25" s="22">
        <v>1.4</v>
      </c>
      <c r="I25" s="29">
        <f t="shared" si="0"/>
        <v>1.4</v>
      </c>
      <c r="J25" s="29">
        <f t="shared" si="1"/>
        <v>2.8</v>
      </c>
      <c r="K25" s="31"/>
      <c r="L25" s="3" t="s">
        <v>15</v>
      </c>
    </row>
    <row r="26" spans="1:12" x14ac:dyDescent="0.2">
      <c r="A26" s="36" t="s">
        <v>13</v>
      </c>
      <c r="B26" s="13" t="s">
        <v>92</v>
      </c>
      <c r="C26" s="14" t="s">
        <v>94</v>
      </c>
      <c r="D26" s="16" t="s">
        <v>93</v>
      </c>
      <c r="E26" s="13">
        <v>1</v>
      </c>
      <c r="F26" s="19">
        <v>0</v>
      </c>
      <c r="G26" s="9"/>
      <c r="H26" s="23">
        <v>1.4</v>
      </c>
      <c r="I26" s="20">
        <f t="shared" ref="I26:I37" si="3">((E26-F26)*H26)</f>
        <v>1.4</v>
      </c>
      <c r="J26" s="20">
        <f t="shared" si="1"/>
        <v>2.8</v>
      </c>
      <c r="K26" s="30">
        <f>(SUM(J26:J29))</f>
        <v>3.34</v>
      </c>
      <c r="L26" s="3" t="s">
        <v>15</v>
      </c>
    </row>
    <row r="27" spans="1:12" x14ac:dyDescent="0.2">
      <c r="A27" s="37" t="s">
        <v>5</v>
      </c>
      <c r="B27" s="10" t="s">
        <v>87</v>
      </c>
      <c r="C27" s="11" t="s">
        <v>88</v>
      </c>
      <c r="D27" s="12" t="s">
        <v>86</v>
      </c>
      <c r="E27" s="10">
        <v>2</v>
      </c>
      <c r="F27" s="18">
        <v>0</v>
      </c>
      <c r="G27" s="9"/>
      <c r="H27" s="22">
        <v>0.12</v>
      </c>
      <c r="I27" s="29">
        <f t="shared" si="3"/>
        <v>0.24</v>
      </c>
      <c r="J27" s="29">
        <f t="shared" si="1"/>
        <v>0.48</v>
      </c>
      <c r="K27" s="31"/>
      <c r="L27" s="3" t="s">
        <v>15</v>
      </c>
    </row>
    <row r="28" spans="1:12" x14ac:dyDescent="0.2">
      <c r="A28" s="37" t="s">
        <v>5</v>
      </c>
      <c r="B28" s="10" t="s">
        <v>91</v>
      </c>
      <c r="C28" s="11" t="s">
        <v>90</v>
      </c>
      <c r="D28" s="12" t="s">
        <v>89</v>
      </c>
      <c r="E28" s="10">
        <v>2</v>
      </c>
      <c r="F28" s="18">
        <v>0</v>
      </c>
      <c r="G28" s="9"/>
      <c r="H28" s="22">
        <v>0.01</v>
      </c>
      <c r="I28" s="29">
        <f t="shared" si="3"/>
        <v>0.02</v>
      </c>
      <c r="J28" s="29">
        <f t="shared" si="1"/>
        <v>0.04</v>
      </c>
      <c r="K28" s="31"/>
      <c r="L28" s="3" t="s">
        <v>15</v>
      </c>
    </row>
    <row r="29" spans="1:12" ht="17" thickBot="1" x14ac:dyDescent="0.25">
      <c r="A29" s="38" t="s">
        <v>5</v>
      </c>
      <c r="B29" s="15" t="s">
        <v>34</v>
      </c>
      <c r="C29" s="26" t="s">
        <v>35</v>
      </c>
      <c r="D29" s="27" t="s">
        <v>33</v>
      </c>
      <c r="E29" s="15">
        <v>1</v>
      </c>
      <c r="F29" s="28">
        <v>0</v>
      </c>
      <c r="G29" s="9"/>
      <c r="H29" s="21">
        <v>0.01</v>
      </c>
      <c r="I29" s="32">
        <f t="shared" si="3"/>
        <v>0.01</v>
      </c>
      <c r="J29" s="32">
        <f t="shared" si="1"/>
        <v>0.02</v>
      </c>
      <c r="K29" s="33"/>
      <c r="L29" s="3" t="s">
        <v>15</v>
      </c>
    </row>
    <row r="30" spans="1:12" x14ac:dyDescent="0.2">
      <c r="A30" s="36" t="s">
        <v>7</v>
      </c>
      <c r="B30" s="47" t="s">
        <v>96</v>
      </c>
      <c r="C30" s="14" t="s">
        <v>95</v>
      </c>
      <c r="D30" s="48">
        <v>25743</v>
      </c>
      <c r="E30" s="13">
        <v>1</v>
      </c>
      <c r="F30" s="19">
        <v>0</v>
      </c>
      <c r="G30" s="9"/>
      <c r="H30" s="23">
        <v>12.99</v>
      </c>
      <c r="I30" s="20">
        <f t="shared" si="3"/>
        <v>12.99</v>
      </c>
      <c r="J30" s="20">
        <v>12.99</v>
      </c>
      <c r="K30" s="49">
        <f>(SUM(J30:J31))</f>
        <v>12.99</v>
      </c>
      <c r="L30" s="3" t="s">
        <v>15</v>
      </c>
    </row>
    <row r="31" spans="1:12" ht="17" thickBot="1" x14ac:dyDescent="0.25">
      <c r="A31" s="38" t="s">
        <v>13</v>
      </c>
      <c r="B31" s="15" t="s">
        <v>98</v>
      </c>
      <c r="C31" s="26" t="s">
        <v>100</v>
      </c>
      <c r="D31" s="27" t="s">
        <v>99</v>
      </c>
      <c r="E31" s="15">
        <v>1</v>
      </c>
      <c r="F31" s="28">
        <v>1</v>
      </c>
      <c r="G31" s="9"/>
      <c r="H31" s="21">
        <v>0.05</v>
      </c>
      <c r="I31" s="32">
        <f t="shared" si="3"/>
        <v>0</v>
      </c>
      <c r="J31" s="32">
        <f t="shared" si="1"/>
        <v>0</v>
      </c>
      <c r="K31" s="50"/>
      <c r="L31" s="3" t="s">
        <v>15</v>
      </c>
    </row>
    <row r="32" spans="1:12" x14ac:dyDescent="0.2">
      <c r="A32" s="36" t="s">
        <v>7</v>
      </c>
      <c r="B32" s="13" t="s">
        <v>101</v>
      </c>
      <c r="C32" s="14" t="s">
        <v>102</v>
      </c>
      <c r="D32" s="16" t="s">
        <v>103</v>
      </c>
      <c r="E32" s="13">
        <v>1</v>
      </c>
      <c r="F32" s="19">
        <v>0</v>
      </c>
      <c r="G32" s="9"/>
      <c r="H32" s="23">
        <v>0.21</v>
      </c>
      <c r="I32" s="20">
        <f t="shared" si="3"/>
        <v>0.21</v>
      </c>
      <c r="J32" s="20">
        <f t="shared" si="1"/>
        <v>0.42</v>
      </c>
      <c r="K32" s="49">
        <f>(SUM(J32:J37))</f>
        <v>0.70000000000000007</v>
      </c>
      <c r="L32" s="3" t="s">
        <v>15</v>
      </c>
    </row>
    <row r="33" spans="1:12" x14ac:dyDescent="0.2">
      <c r="A33" s="37" t="s">
        <v>7</v>
      </c>
      <c r="B33" s="51" t="s">
        <v>106</v>
      </c>
      <c r="C33" s="11" t="s">
        <v>105</v>
      </c>
      <c r="D33" s="53" t="s">
        <v>104</v>
      </c>
      <c r="E33" s="51">
        <v>1</v>
      </c>
      <c r="F33" s="54">
        <v>0</v>
      </c>
      <c r="G33" s="9"/>
      <c r="H33" s="58">
        <v>0.09</v>
      </c>
      <c r="I33" s="29">
        <f t="shared" si="3"/>
        <v>0.09</v>
      </c>
      <c r="J33" s="29">
        <f t="shared" si="1"/>
        <v>0.18</v>
      </c>
      <c r="K33" s="59"/>
      <c r="L33" s="3" t="s">
        <v>15</v>
      </c>
    </row>
    <row r="34" spans="1:12" x14ac:dyDescent="0.2">
      <c r="A34" s="37" t="s">
        <v>5</v>
      </c>
      <c r="B34" s="40" t="s">
        <v>62</v>
      </c>
      <c r="C34" s="11" t="s">
        <v>32</v>
      </c>
      <c r="D34" s="12" t="s">
        <v>31</v>
      </c>
      <c r="E34" s="10">
        <v>1</v>
      </c>
      <c r="F34" s="18">
        <v>0</v>
      </c>
      <c r="G34" s="9"/>
      <c r="H34" s="58">
        <v>0.01</v>
      </c>
      <c r="I34" s="29">
        <f t="shared" si="3"/>
        <v>0.01</v>
      </c>
      <c r="J34" s="29">
        <f t="shared" si="1"/>
        <v>0.02</v>
      </c>
      <c r="K34" s="59"/>
      <c r="L34" s="3" t="s">
        <v>15</v>
      </c>
    </row>
    <row r="35" spans="1:12" x14ac:dyDescent="0.2">
      <c r="A35" s="37" t="s">
        <v>5</v>
      </c>
      <c r="B35" s="10" t="s">
        <v>34</v>
      </c>
      <c r="C35" s="11" t="s">
        <v>35</v>
      </c>
      <c r="D35" s="12" t="s">
        <v>33</v>
      </c>
      <c r="E35" s="10">
        <v>1</v>
      </c>
      <c r="F35" s="18">
        <v>0</v>
      </c>
      <c r="G35" s="9"/>
      <c r="H35" s="58">
        <v>0.01</v>
      </c>
      <c r="I35" s="29">
        <f t="shared" si="3"/>
        <v>0.01</v>
      </c>
      <c r="J35" s="29">
        <f t="shared" si="1"/>
        <v>0.02</v>
      </c>
      <c r="K35" s="59"/>
      <c r="L35" s="3" t="s">
        <v>15</v>
      </c>
    </row>
    <row r="36" spans="1:12" x14ac:dyDescent="0.2">
      <c r="A36" s="37" t="s">
        <v>5</v>
      </c>
      <c r="B36" s="51" t="s">
        <v>109</v>
      </c>
      <c r="C36" s="11" t="s">
        <v>108</v>
      </c>
      <c r="D36" s="53" t="s">
        <v>107</v>
      </c>
      <c r="E36" s="51">
        <v>1</v>
      </c>
      <c r="F36" s="54">
        <v>0</v>
      </c>
      <c r="G36" s="9"/>
      <c r="H36" s="58">
        <v>0.02</v>
      </c>
      <c r="I36" s="52">
        <f t="shared" si="3"/>
        <v>0.02</v>
      </c>
      <c r="J36" s="52">
        <f t="shared" si="1"/>
        <v>0.04</v>
      </c>
      <c r="K36" s="59"/>
      <c r="L36" s="3" t="s">
        <v>15</v>
      </c>
    </row>
    <row r="37" spans="1:12" ht="17" thickBot="1" x14ac:dyDescent="0.25">
      <c r="A37" s="38" t="s">
        <v>5</v>
      </c>
      <c r="B37" s="55" t="s">
        <v>110</v>
      </c>
      <c r="C37" s="26" t="s">
        <v>112</v>
      </c>
      <c r="D37" s="56" t="s">
        <v>111</v>
      </c>
      <c r="E37" s="55">
        <v>1</v>
      </c>
      <c r="F37" s="57">
        <v>0</v>
      </c>
      <c r="G37" s="9"/>
      <c r="H37" s="60">
        <v>0.01</v>
      </c>
      <c r="I37" s="61">
        <f t="shared" si="3"/>
        <v>0.01</v>
      </c>
      <c r="J37" s="61">
        <f t="shared" si="1"/>
        <v>0.02</v>
      </c>
      <c r="K37" s="50"/>
      <c r="L37" s="3" t="s">
        <v>15</v>
      </c>
    </row>
  </sheetData>
  <mergeCells count="18">
    <mergeCell ref="K30:K31"/>
    <mergeCell ref="K32:K37"/>
    <mergeCell ref="G3:G37"/>
    <mergeCell ref="K26:K29"/>
    <mergeCell ref="O2:P2"/>
    <mergeCell ref="O5:P5"/>
    <mergeCell ref="O3:P4"/>
    <mergeCell ref="O6:P7"/>
    <mergeCell ref="Q6:R7"/>
    <mergeCell ref="Q3:R4"/>
    <mergeCell ref="Q2:R2"/>
    <mergeCell ref="Q5:R5"/>
    <mergeCell ref="A1:L1"/>
    <mergeCell ref="K5:K7"/>
    <mergeCell ref="K8:K9"/>
    <mergeCell ref="K10:K14"/>
    <mergeCell ref="K15:K19"/>
    <mergeCell ref="K20:K25"/>
  </mergeCells>
  <conditionalFormatting sqref="A3:A37">
    <cfRule type="cellIs" dxfId="15" priority="1" operator="equal">
      <formula>"Module"</formula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{1CEBF868-5D8E-3D41-8109-A80F39EA46B7}</x14:id>
        </ext>
      </extLst>
    </cfRule>
    <cfRule type="cellIs" dxfId="14" priority="17" operator="equal">
      <formula>"Composant"</formula>
    </cfRule>
  </conditionalFormatting>
  <conditionalFormatting sqref="A3:A37">
    <cfRule type="cellIs" dxfId="13" priority="16" operator="equal">
      <formula>"Matériel"</formula>
    </cfRule>
  </conditionalFormatting>
  <conditionalFormatting sqref="A3:A37">
    <cfRule type="cellIs" dxfId="12" priority="15" operator="equal">
      <formula>"Module"</formula>
    </cfRule>
  </conditionalFormatting>
  <conditionalFormatting sqref="A3:A37">
    <cfRule type="cellIs" dxfId="11" priority="14" operator="equal">
      <formula>"Capteur"</formula>
    </cfRule>
  </conditionalFormatting>
  <conditionalFormatting sqref="A3:A37">
    <cfRule type="cellIs" dxfId="10" priority="13" operator="equal">
      <formula>"Connecteur"</formula>
    </cfRule>
  </conditionalFormatting>
  <conditionalFormatting sqref="F3:G3 F4:F37">
    <cfRule type="cellIs" dxfId="9" priority="12" operator="equal">
      <formula>"Non commandé"</formula>
    </cfRule>
  </conditionalFormatting>
  <conditionalFormatting sqref="F3:G3 F4:F37">
    <cfRule type="cellIs" dxfId="8" priority="11" operator="equal">
      <formula>"Commandé"</formula>
    </cfRule>
  </conditionalFormatting>
  <conditionalFormatting sqref="F3:G3 F4:F37">
    <cfRule type="cellIs" dxfId="7" priority="10" operator="equal">
      <formula>"En cours de livraison"</formula>
    </cfRule>
  </conditionalFormatting>
  <conditionalFormatting sqref="F3:G3 F4:F37">
    <cfRule type="cellIs" dxfId="6" priority="9" operator="equal">
      <formula>"Livré sans défauts"</formula>
    </cfRule>
  </conditionalFormatting>
  <conditionalFormatting sqref="F3:G3 F4:F37">
    <cfRule type="cellIs" dxfId="5" priority="8" operator="equal">
      <formula>"Livré avec défauts"</formula>
    </cfRule>
  </conditionalFormatting>
  <conditionalFormatting sqref="L3:L37">
    <cfRule type="cellIs" dxfId="4" priority="7" operator="equal">
      <formula>"Non commandé"</formula>
    </cfRule>
  </conditionalFormatting>
  <conditionalFormatting sqref="L3:L37">
    <cfRule type="cellIs" dxfId="3" priority="6" operator="equal">
      <formula>"Commandé"</formula>
    </cfRule>
  </conditionalFormatting>
  <conditionalFormatting sqref="L3:L37">
    <cfRule type="cellIs" dxfId="2" priority="5" operator="equal">
      <formula>"En cours de livraison"</formula>
    </cfRule>
  </conditionalFormatting>
  <conditionalFormatting sqref="L3:L37">
    <cfRule type="cellIs" dxfId="1" priority="4" operator="equal">
      <formula>"Livré sans défauts"</formula>
    </cfRule>
  </conditionalFormatting>
  <conditionalFormatting sqref="L3:L37">
    <cfRule type="cellIs" dxfId="0" priority="3" operator="equal">
      <formula>"Livré avec défauts"</formula>
    </cfRule>
  </conditionalFormatting>
  <dataValidations count="3">
    <dataValidation type="list" allowBlank="1" showInputMessage="1" showErrorMessage="1" sqref="V2" xr:uid="{67E64593-8E98-4441-8C4D-5E19097C1D73}">
      <formula1>$V$2:$V$7</formula1>
    </dataValidation>
    <dataValidation type="list" allowBlank="1" showInputMessage="1" showErrorMessage="1" sqref="A3:A37" xr:uid="{8526C337-B4DF-BF49-B449-735DAB2CC75A}">
      <formula1>$V$2:$V$6</formula1>
    </dataValidation>
    <dataValidation type="list" allowBlank="1" showInputMessage="1" showErrorMessage="1" sqref="L3:L37" xr:uid="{3AB4FF5A-763E-1240-8D73-C86904B6ED44}">
      <formula1>$W$2:$W$6</formula1>
    </dataValidation>
  </dataValidations>
  <hyperlinks>
    <hyperlink ref="C3" r:id="rId1" xr:uid="{E12C06C6-140F-F042-B330-667055BE862E}"/>
    <hyperlink ref="C6" r:id="rId2" xr:uid="{EAF26BA3-B5F5-3947-B5FF-9C0EAFDF440D}"/>
    <hyperlink ref="C7" r:id="rId3" xr:uid="{881B40C8-B305-3041-B64B-0EF549FD7036}"/>
    <hyperlink ref="C9" r:id="rId4" xr:uid="{80990971-25BA-2D40-83DD-DFB616450E74}"/>
    <hyperlink ref="C11" r:id="rId5" xr:uid="{BEAD4371-6D09-9D41-A79A-E028D991C3F5}"/>
    <hyperlink ref="C13" r:id="rId6" xr:uid="{96193644-4D52-E64D-B0B2-A012A856B623}"/>
    <hyperlink ref="C4" r:id="rId7" xr:uid="{F6C4529C-73F5-CE4E-83E7-C8106278D5A8}"/>
    <hyperlink ref="C16" r:id="rId8" xr:uid="{894A36AF-2EF8-484F-A1DD-A0CD7CD26AB7}"/>
    <hyperlink ref="C18" r:id="rId9" xr:uid="{371F6C6A-6510-7246-B42A-E708B2BEF02C}"/>
    <hyperlink ref="C19" r:id="rId10" xr:uid="{F7AF4D6E-B268-BB49-8AE7-F7D56EBA31A6}"/>
    <hyperlink ref="C14" r:id="rId11" xr:uid="{BA7E43B5-C809-F149-9D91-02C9615E4FAB}"/>
    <hyperlink ref="C22" r:id="rId12" xr:uid="{BEA5FECB-B0AE-FF4D-B5B5-64F6089E78E9}"/>
    <hyperlink ref="C28" r:id="rId13" xr:uid="{E74A94D5-3203-7D41-A544-1E63EA1584A8}"/>
    <hyperlink ref="C29" r:id="rId14" xr:uid="{CAA2A602-E570-A844-B5D6-F40A1A7AC8CD}"/>
    <hyperlink ref="C8" r:id="rId15" xr:uid="{32755095-C3D1-F049-918C-E907934E3E76}"/>
    <hyperlink ref="C30" r:id="rId16" xr:uid="{D2343655-11F1-8B48-8DF6-FCADA5FE154E}"/>
    <hyperlink ref="C33" r:id="rId17" xr:uid="{6F2EFD4F-E4D5-2041-9178-3692DFCB9299}"/>
    <hyperlink ref="C34" r:id="rId18" xr:uid="{7246D0A3-EF36-2F43-B1FE-AE145DFA1833}"/>
    <hyperlink ref="C35" r:id="rId19" xr:uid="{9434585C-616C-3A4C-95FC-A98B17950176}"/>
    <hyperlink ref="C37" r:id="rId20" xr:uid="{A1F18CC2-1136-1C41-A6B1-099BFC7EB499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EBF868-5D8E-3D41-8109-A80F39EA46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A3:A37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CLARET  Arthur</dc:creator>
  <cp:lastModifiedBy>CLARET  Arthur</cp:lastModifiedBy>
  <dcterms:created xsi:type="dcterms:W3CDTF">2026-10-03T12:23:53Z</dcterms:created>
  <dcterms:modified xsi:type="dcterms:W3CDTF">2026-10-04T13:51:12Z</dcterms:modified>
</cp:coreProperties>
</file>